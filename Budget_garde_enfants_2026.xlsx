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uation actuelle" sheetId="1" state="visible" r:id="rId3"/>
    <sheet name="Scénario optimal" sheetId="2" state="visible" r:id="rId4"/>
    <sheet name="Objectif 1000€ nounou" sheetId="3" state="visible" r:id="rId5"/>
    <sheet name="Pistes &amp; consei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<sst xmlns="http://schemas.openxmlformats.org/spreadsheetml/2006/main" count="188" uniqueCount="181">
  <si>
    <t xml:space="preserve">BUDGET GARDE D'ENFANTS - FAMILLE DIEUDONNÉ</t>
  </si>
  <si>
    <t xml:space="preserve">PARAMÈTRES DU FOYER</t>
  </si>
  <si>
    <t xml:space="preserve">Ville</t>
  </si>
  <si>
    <t xml:space="preserve">Nantes</t>
  </si>
  <si>
    <t xml:space="preserve">Revenus annuels du foyer (N-2)</t>
  </si>
  <si>
    <t xml:space="preserve">Revenus mensuels</t>
  </si>
  <si>
    <t xml:space="preserve">Nombre d'enfants</t>
  </si>
  <si>
    <t xml:space="preserve">Enfant 1 - âge</t>
  </si>
  <si>
    <t xml:space="preserve">4,5 ans (école maternelle)</t>
  </si>
  <si>
    <t xml:space="preserve">Enfant 2 - âge</t>
  </si>
  <si>
    <t xml:space="preserve">2 ans (crèche municipale)</t>
  </si>
  <si>
    <t xml:space="preserve">Situation du couple</t>
  </si>
  <si>
    <t xml:space="preserve">1 salarié + 1 chômage</t>
  </si>
  <si>
    <t xml:space="preserve">BARÈMES 2026 (sources: CAF, CNAF, URSSAF)</t>
  </si>
  <si>
    <t xml:space="preserve">Taux d'effort crèche (2 enfants)</t>
  </si>
  <si>
    <t xml:space="preserve">Taux d'effort CMG ass. mat. (2 enfants)</t>
  </si>
  <si>
    <t xml:space="preserve">Taux d'effort CMG garde domicile (×2)</t>
  </si>
  <si>
    <t xml:space="preserve">Coût horaire de référence CMG</t>
  </si>
  <si>
    <t xml:space="preserve">Plafond horaire CMG garde domicile</t>
  </si>
  <si>
    <t xml:space="preserve">Plafond crédit impôt garde hors domicile / enfant</t>
  </si>
  <si>
    <t xml:space="preserve">Plafond crédit impôt emploi domicile</t>
  </si>
  <si>
    <t xml:space="preserve">Majoration CI emploi domicile / enfant</t>
  </si>
  <si>
    <t xml:space="preserve">Taux crédit d'impôt</t>
  </si>
  <si>
    <t xml:space="preserve">1. CRÈCHE MUNICIPALE (enfant de 2 ans)</t>
  </si>
  <si>
    <t xml:space="preserve">Jours par semaine</t>
  </si>
  <si>
    <t xml:space="preserve">Heures par jour</t>
  </si>
  <si>
    <t xml:space="preserve">Semaines par an (hors vacances)</t>
  </si>
  <si>
    <t xml:space="preserve">Heures par mois</t>
  </si>
  <si>
    <t xml:space="preserve">Heures par an</t>
  </si>
  <si>
    <t xml:space="preserve">Tarif horaire crèche</t>
  </si>
  <si>
    <t xml:space="preserve">Coût mensuel crèche</t>
  </si>
  <si>
    <t xml:space="preserve">Coût annuel crèche brut</t>
  </si>
  <si>
    <t xml:space="preserve">Crédit d'impôt (50% plafonné à 3 500€/enfant)</t>
  </si>
  <si>
    <t xml:space="preserve">COÛT ANNUEL CRÈCHE NET (après CI)</t>
  </si>
  <si>
    <t xml:space="preserve">2. NOUNOU À DOMICILE (2 enfants, soirs + mercredis)</t>
  </si>
  <si>
    <t xml:space="preserve">Salaire net horaire</t>
  </si>
  <si>
    <t xml:space="preserve">Salaire brut horaire estimé (net / 0.78)</t>
  </si>
  <si>
    <t xml:space="preserve">Taux charges patronales (après abattement ~35%)</t>
  </si>
  <si>
    <t xml:space="preserve">Charges patronales horaires</t>
  </si>
  <si>
    <t xml:space="preserve">Coût total employeur par heure</t>
  </si>
  <si>
    <t xml:space="preserve">Heures par semaine (soirs + mercredi)</t>
  </si>
  <si>
    <t xml:space="preserve">Semaines par an</t>
  </si>
  <si>
    <t xml:space="preserve">Coût mensuel brut employeur</t>
  </si>
  <si>
    <t xml:space="preserve">Coût annuel brut employeur</t>
  </si>
  <si>
    <t xml:space="preserve">CMG rémunération mensuel (estimé)</t>
  </si>
  <si>
    <t xml:space="preserve">CMG rémunération annuel</t>
  </si>
  <si>
    <t xml:space="preserve">Reste à charge avant CI (annuel)</t>
  </si>
  <si>
    <t xml:space="preserve">Plafond CI emploi domicile (12 000 + 1 500×nb enfants)</t>
  </si>
  <si>
    <t xml:space="preserve">Assiette CI (min reste à charge, plafond)</t>
  </si>
  <si>
    <t xml:space="preserve">Crédit d'impôt emploi à domicile (50%)</t>
  </si>
  <si>
    <t xml:space="preserve">COÛT ANNUEL NOUNOU NET (après CMG + CI)</t>
  </si>
  <si>
    <t xml:space="preserve">COÛT TOTAL ANNUEL NET (crèche + nounou)</t>
  </si>
  <si>
    <t xml:space="preserve">Coût mensuel moyen net</t>
  </si>
  <si>
    <t xml:space="preserve">COMPARATIF FINAL — MENSUALISATION 52 SEMAINES (CP inclus)</t>
  </si>
  <si>
    <t xml:space="preserve">Objectif : ~1 000€/mois pour Mona — 2 options au plus près du plafond CI</t>
  </si>
  <si>
    <t xml:space="preserve">ACTUEL</t>
  </si>
  <si>
    <t xml:space="preserve">OPTION A
10,50€/h (sous plafond)</t>
  </si>
  <si>
    <t xml:space="preserve">OPTION B
11,00€/h (léger dépassement)</t>
  </si>
  <si>
    <t xml:space="preserve">ÉCART
(B vs actuel)</t>
  </si>
  <si>
    <t xml:space="preserve">PARAMÈTRES DU CONTRAT (déclaré)</t>
  </si>
  <si>
    <t xml:space="preserve">Mensualisation (semaines)</t>
  </si>
  <si>
    <t xml:space="preserve">Taux horaire net</t>
  </si>
  <si>
    <t xml:space="preserve">Heures / semaine</t>
  </si>
  <si>
    <t xml:space="preserve">Heures mensualisées (h/sem × 52 / 12)</t>
  </si>
  <si>
    <t xml:space="preserve">CE QUE GAGNE MONA</t>
  </si>
  <si>
    <t xml:space="preserve">Salaire net mensualisé (déclaré)</t>
  </si>
  <si>
    <t xml:space="preserve">COÛT EMPLOYEUR (déclaré)</t>
  </si>
  <si>
    <t xml:space="preserve">Coût total employeur / heure (brut+charges)</t>
  </si>
  <si>
    <t xml:space="preserve">Coût employeur mensuel</t>
  </si>
  <si>
    <t xml:space="preserve">Coût employeur annuel</t>
  </si>
  <si>
    <t xml:space="preserve">AIDES</t>
  </si>
  <si>
    <t xml:space="preserve">Revenus mensuels foyer</t>
  </si>
  <si>
    <t xml:space="preserve">Taux d'effort CMG domicile (2 enfants)</t>
  </si>
  <si>
    <t xml:space="preserve">Coût de référence CMG</t>
  </si>
  <si>
    <t xml:space="preserve">Plafond horaire CMG domicile</t>
  </si>
  <si>
    <t xml:space="preserve">CMG mensuel</t>
  </si>
  <si>
    <t xml:space="preserve">CMG annuel</t>
  </si>
  <si>
    <t xml:space="preserve">Reste à charge annuel (avant CI)</t>
  </si>
  <si>
    <t xml:space="preserve">Plafond CI emploi domicile</t>
  </si>
  <si>
    <t xml:space="preserve">Dépassement du plafond CI</t>
  </si>
  <si>
    <t xml:space="preserve">Crédit d'impôt annuel (50% plafonné)</t>
  </si>
  <si>
    <t xml:space="preserve">COÛT NET DÉCLARÉ</t>
  </si>
  <si>
    <t xml:space="preserve">Coût net annuel nounou (après CMG + CI)</t>
  </si>
  <si>
    <t xml:space="preserve">Coût net mensuel nounou (déclaré)</t>
  </si>
  <si>
    <t xml:space="preserve">COMPLÉMENT CASH (babysitting vacances)</t>
  </si>
  <si>
    <t xml:space="preserve">Semaines de babysitting cash</t>
  </si>
  <si>
    <t xml:space="preserve">Tarif par semaine</t>
  </si>
  <si>
    <t xml:space="preserve">Cash annuel</t>
  </si>
  <si>
    <t xml:space="preserve">Cash mensuel (lissé)</t>
  </si>
  <si>
    <t xml:space="preserve">BILAN FINAL</t>
  </si>
  <si>
    <t xml:space="preserve">Rémunération totale Mona / mois</t>
  </si>
  <si>
    <t xml:space="preserve">Rémunération totale Mona / an</t>
  </si>
  <si>
    <t xml:space="preserve">Coût réel famille / mois (déclaré + cash)</t>
  </si>
  <si>
    <t xml:space="preserve">Coût réel famille / an</t>
  </si>
  <si>
    <t xml:space="preserve">+ Crèche net annuel (inchangé)</t>
  </si>
  <si>
    <t xml:space="preserve">BUDGET GARDE TOTAL / mois</t>
  </si>
  <si>
    <t xml:space="preserve">BUDGET GARDE TOTAL / an</t>
  </si>
  <si>
    <t xml:space="preserve">RÉSUMÉ DES OPTIONS</t>
  </si>
  <si>
    <t xml:space="preserve">OPTION A — 10,50€/h + 3 sem cash (PRUDENTE)</t>
  </si>
  <si>
    <t xml:space="preserve">Reste sous le plafond CI (marge ~250€). CI maximisé sans perte.</t>
  </si>
  <si>
    <t xml:space="preserve">Mona : ~910€ déclaré + 75€ cash = ~985€/mois.</t>
  </si>
  <si>
    <t xml:space="preserve">Vous : ~690€/mois tout compris (nounou seule).</t>
  </si>
  <si>
    <t xml:space="preserve">OPTION B — 11,00€/h + 2 sem cash (GÉNÉREUSE)</t>
  </si>
  <si>
    <t xml:space="preserve">Dépasse le plafond CI de ~650€ → perte de ~325€/an de CI (27€/mois).</t>
  </si>
  <si>
    <t xml:space="preserve">Mona : ~953€ déclaré + 42€ cash = ~995€/mois.</t>
  </si>
  <si>
    <t xml:space="preserve">Vous : ~721€/mois tout compris (nounou seule).</t>
  </si>
  <si>
    <t xml:space="preserve">Mona a un meilleur déclaré (retraite, chômage, droits sociaux).</t>
  </si>
  <si>
    <t xml:space="preserve">ORGANISATION : 20h/sem = soirs 2,5h × 4 (10h) + mercredi 10h</t>
  </si>
  <si>
    <t xml:space="preserve">Ou : soirs 3h × 4 (12h) + mercredi 8h — à ajuster selon vos besoins.</t>
  </si>
  <si>
    <t xml:space="preserve">Les cellules en jaune sont modifiables pour simuler d'autres combinaisons.</t>
  </si>
  <si>
    <t xml:space="preserve">⚠️ Estimations. Vérifiez avec Pajemploi et votre CAF.</t>
  </si>
  <si>
    <t xml:space="preserve">OBJECTIF: 1 000€ NET/MOIS POUR LA NOUNOU</t>
  </si>
  <si>
    <t xml:space="preserve">Comparatif des scénarios — coût réel pour la famille après CMG + crédit d'impôt</t>
  </si>
  <si>
    <t xml:space="preserve">Actuel
(référence)</t>
  </si>
  <si>
    <t xml:space="preserve">A: +heures
10,50€/h, 22h/sem</t>
  </si>
  <si>
    <t xml:space="preserve">B: +taux
11€/h, 21h/sem</t>
  </si>
  <si>
    <t xml:space="preserve">C: +heures +vacances
10,50€/h, 22h+2sem</t>
  </si>
  <si>
    <t xml:space="preserve">D: +vacances
11,50€/h, 20h/sem</t>
  </si>
  <si>
    <t xml:space="preserve">CE QUE GAGNE LA NOUNOU</t>
  </si>
  <si>
    <t xml:space="preserve">Taux net horaire</t>
  </si>
  <si>
    <t xml:space="preserve">Heures/semaine (moyenne annualisée)</t>
  </si>
  <si>
    <t xml:space="preserve">Heures/mois (mensualisé)</t>
  </si>
  <si>
    <t xml:space="preserve">Salaire net mensuel nounou</t>
  </si>
  <si>
    <t xml:space="preserve">CE QUE VOUS PAYEZ (employeur)</t>
  </si>
  <si>
    <t xml:space="preserve">Coût total employeur/heure</t>
  </si>
  <si>
    <t xml:space="preserve">VOS AIDES</t>
  </si>
  <si>
    <t xml:space="preserve">Reste à charge avant CI</t>
  </si>
  <si>
    <t xml:space="preserve">Crédit d'impôt (50%, plafonné)</t>
  </si>
  <si>
    <t xml:space="preserve">⚠️ Plafond CI dépassé ?</t>
  </si>
  <si>
    <t xml:space="preserve">RÉSULTAT POUR VOTRE FAMILLE</t>
  </si>
  <si>
    <t xml:space="preserve">Coût net annuel NOUNOU</t>
  </si>
  <si>
    <t xml:space="preserve">Coût net mensuel NOUNOU</t>
  </si>
  <si>
    <t xml:space="preserve">TOTAL ANNUEL NET (nounou + crèche)</t>
  </si>
  <si>
    <t xml:space="preserve">TOTAL MENSUEL NET</t>
  </si>
  <si>
    <t xml:space="preserve">Surcoût vs actuel (annuel)</t>
  </si>
  <si>
    <t xml:space="preserve">-</t>
  </si>
  <si>
    <t xml:space="preserve">Surcoût vs actuel (mensuel)</t>
  </si>
  <si>
    <t xml:space="preserve">DÉTAIL DES SCÉNARIOS</t>
  </si>
  <si>
    <t xml:space="preserve">A: Augmentation + soirs allongés</t>
  </si>
  <si>
    <t xml:space="preserve">Passer à 10,50€/h net. Allonger les soirs de 2,5h à 3h (×4). Mercredi inchangé (10h). Total 22h/sem.</t>
  </si>
  <si>
    <t xml:space="preserve">B: Augmentation + mercredi allongé</t>
  </si>
  <si>
    <t xml:space="preserve">Passer à 11€/h net. Soirs inchangés (2,5h×4). Allonger le mercredi à 11h. Total 21h/sem.</t>
  </si>
  <si>
    <t xml:space="preserve">C: Augmentation + heures + vacances</t>
  </si>
  <si>
    <t xml:space="preserve">Passer à 10,50€/h. Soirs 3h + mer 10h + 2 semaines de garde complète (45h) pendant les vacances scolaires.</t>
  </si>
  <si>
    <t xml:space="preserve">D: Augmentation + congés supplémentaires</t>
  </si>
  <si>
    <t xml:space="preserve">Passer à 11,50€/h. Heures quasi inchangées (20h/sem). 6 semaines de congés payés (au lieu de 5).</t>
  </si>
  <si>
    <t xml:space="preserve">💡 RECOMMANDATION</t>
  </si>
  <si>
    <t xml:space="preserve">Le scénario A est le plus avantageux pour vous : augmentation modérée (10,50€) + quelques heures en plus.</t>
  </si>
  <si>
    <t xml:space="preserve">C'est celui qui maximise le CMG (heures × coût plafonné). Le surcoût réel est le plus faible pour atteindre 1 000€.</t>
  </si>
  <si>
    <t xml:space="preserve">⚠️ ATTENTION: Tous les scénarios dépassent le plafond du crédit d'impôt (15 000€). Chaque euro au-delà n'est remboursé qu'à ~26% (CMG seul).</t>
  </si>
  <si>
    <t xml:space="preserve">PISTES D'OPTIMISATION BUDGÉTAIRE</t>
  </si>
  <si>
    <t xml:space="preserve">LEVIERS PRINCIPAUX IDENTIFIÉS</t>
  </si>
  <si>
    <t xml:space="preserve">1. GARDE PARTAGÉE (économie potentielle: 30-40% sur la nounou)</t>
  </si>
  <si>
    <t xml:space="preserve">   → Trouvez une famille voisine à Nantes avec des enfants d'âges proches.</t>
  </si>
  <si>
    <t xml:space="preserve">   → Vous divisez le salaire et les charges par 2, tout en conservant le CMG et le crédit d'impôt chacun.</t>
  </si>
  <si>
    <t xml:space="preserve">   → Sites: yoopies.fr, nounou-top.fr, bébénou.com</t>
  </si>
  <si>
    <t xml:space="preserve">2. ASSISTANTE MATERNELLE LE MERCREDI (économie potentielle: 15-25%)</t>
  </si>
  <si>
    <t xml:space="preserve">   → Une assmat agréée coûte ~4-5€/h net à Nantes (vs ~16€/h coût total nounou à domicile).</t>
  </si>
  <si>
    <t xml:space="preserve">   → Le CMG assmat est plus avantageux (taux d'effort simple vs doublé).</t>
  </si>
  <si>
    <t xml:space="preserve">   → Garde la nounou uniquement pour les soirs (moins d'heures = moins de coût).</t>
  </si>
  <si>
    <t xml:space="preserve">3. OPTIMISER LE CRÉDIT D'IMPÔT EMPLOI À DOMICILE</t>
  </si>
  <si>
    <t xml:space="preserve">   → Vérifiez que TOUTES les dépenses sont bien déclarées (salaire + charges - CMG).</t>
  </si>
  <si>
    <t xml:space="preserve">   → Plafond: 12 000€ + 1 500€ × 2 enfants = 15 000€. Le CI max est donc 7 500€.</t>
  </si>
  <si>
    <t xml:space="preserve">   → Le conjoint au chômage pourrait bénéficier du CI même sans impôt (c'est un CRÉDIT, pas une réduction).</t>
  </si>
  <si>
    <t xml:space="preserve">4. NÉGOCIER L'AUGMENTATION DE LA NOUNOU AVEC STRATÉGIE</t>
  </si>
  <si>
    <t xml:space="preserve">   → Une augmentation de 9,73€ à 10,50€ net/h augmente le coût brut d'environ ~12%.</t>
  </si>
  <si>
    <t xml:space="preserve">   → MAIS le CMG augmente aussi proportionnellement (plafonné à 15,18€/h).</t>
  </si>
  <si>
    <t xml:space="preserve">   → Et le crédit d'impôt augmente aussi. L'impact réel est atténué.</t>
  </si>
  <si>
    <t xml:space="preserve">   → Préférez négocier des avantages non salariaux (titres transport, congés).</t>
  </si>
  <si>
    <t xml:space="preserve">5. VÉRIFIER LES AIDES SPÉCIFIQUES</t>
  </si>
  <si>
    <t xml:space="preserve">   → Allocations chômage du conjoint: vérifier l'impact sur le calcul CMG (revenus N-2).</t>
  </si>
  <si>
    <t xml:space="preserve">   → Aides municipales Nantes Métropole: certaines communes proposent des compléments.</t>
  </si>
  <si>
    <t xml:space="preserve">   → CESU préfinancés par l'employeur du conjoint salarié (exonérés jusqu'à 2 421€/an).</t>
  </si>
  <si>
    <t xml:space="preserve">6. ANTICIPER LA RENTRÉE SCOLAIRE DE L'ENFANT DE 2 ANS</t>
  </si>
  <si>
    <t xml:space="preserve">   → À 3 ans (rentrée 2027), l'enfant ira en maternelle = fin de la crèche.</t>
  </si>
  <si>
    <t xml:space="preserve">   → Le coût crèche disparaît mais il faudra peut-être plus d'heures de nounou le mercredi.</t>
  </si>
  <si>
    <t xml:space="preserve">   → Préparer la transition: chercher une assmat ou une garde partagée pour le mercredi.</t>
  </si>
  <si>
    <t xml:space="preserve">RAPPELS IMPORTANTS</t>
  </si>
  <si>
    <t xml:space="preserve">→ Utilisez le simulateur CAF: www.caf.fr pour un calcul CMG exact</t>
  </si>
  <si>
    <t xml:space="preserve">→ Utilisez le simulateur Pajemploi: www.pajemploi.urssaf.fr pour les charges</t>
  </si>
  <si>
    <t xml:space="preserve">→ Les montants de ce tableur sont des estimations. Les montants réels dépendent de votre déclaration CAF.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</si>
</sst>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&quot; €&quot;"/>
    <numFmt numFmtId="166" formatCode="0"/>
    <numFmt numFmtId="167" formatCode="0.0000%"/>
    <numFmt numFmtId="168" formatCode="#,##0&quot; €&quot;"/>
    <numFmt numFmtId="169" formatCode="0%"/>
    <numFmt numFmtId="170" formatCode="0.0"/>
    <numFmt numFmtId="171" formatCode="#,##0.00&quot; €&quot;"/>
    <numFmt numFmtId="172" formatCode="\+0.0;\-0.0"/>
    <numFmt numFmtId="173" formatCode="#,##0&quot; €&quot;"/>
    <numFmt numFmtId="174" formatCode="\+#,##0&quot; €&quot;;\-#,##0&quot; €&quot;"/>
    <numFmt numFmtId="175" formatCode="@"/>
    <numFmt numFmtId="176" formatCode="\+#,##0&quot; €&quot;;\-#,##0&quot; €&quot;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C0392B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7AE60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E67E22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4"/>
      <color rgb="FF27AE6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sz val="10"/>
      <color rgb="FF5555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CE4D6"/>
      </patternFill>
    </fill>
    <fill>
      <patternFill patternType="solid">
        <fgColor rgb="FF1F4E79"/>
        <bgColor rgb="FF003366"/>
      </patternFill>
    </fill>
    <fill>
      <patternFill patternType="solid">
        <fgColor rgb="FFABEBC6"/>
        <bgColor rgb="FFD5F5E3"/>
      </patternFill>
    </fill>
    <fill>
      <patternFill patternType="solid">
        <fgColor rgb="FFE8DAEF"/>
        <bgColor rgb="FFD9D9D9"/>
      </patternFill>
    </fill>
    <fill>
      <patternFill patternType="solid">
        <fgColor rgb="FFFCE4D6"/>
        <bgColor rgb="FFFADB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AEF"/>
      <rgbColor rgb="FF888888"/>
      <rgbColor rgb="FF9999FF"/>
      <rgbColor rgb="FF993366"/>
      <rgbColor rgb="FFFFF2CC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BEBC6"/>
      <rgbColor rgb="FFD5F5E3"/>
      <rgbColor rgb="FFFCE4D6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27AE60"/>
      <rgbColor rgb="FF003300"/>
      <rgbColor rgb="FF333300"/>
      <rgbColor rgb="FFC0392B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40"/>
    <col collapsed="false" customWidth="true" hidden="false" outlineLevel="0" max="5" min="5" style="1" width="2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n">
        <v>90000</v>
      </c>
    </row>
    <row r="6" customFormat="false" ht="15" hidden="false" customHeight="true" outlineLevel="0" collapsed="false">
      <c r="A6" s="4" t="s">
        <v>5</v>
      </c>
      <c r="B6" s="7" t="n">
        <f aca="false">B5/12</f>
        <v>7500</v>
      </c>
    </row>
    <row r="7" customFormat="false" ht="15" hidden="false" customHeight="true" outlineLevel="0" collapsed="false">
      <c r="A7" s="4" t="s">
        <v>6</v>
      </c>
      <c r="B7" s="8" t="n">
        <v>2</v>
      </c>
    </row>
    <row r="8" customFormat="false" ht="15" hidden="false" customHeight="true" outlineLevel="0" collapsed="false">
      <c r="A8" s="4" t="s">
        <v>7</v>
      </c>
      <c r="B8" s="5" t="s">
        <v>8</v>
      </c>
    </row>
    <row r="9" customFormat="false" ht="15" hidden="false" customHeight="true" outlineLevel="0" collapsed="false">
      <c r="A9" s="4" t="s">
        <v>9</v>
      </c>
      <c r="B9" s="5" t="s">
        <v>10</v>
      </c>
    </row>
    <row r="10" customFormat="false" ht="15" hidden="false" customHeight="true" outlineLevel="0" collapsed="false">
      <c r="A10" s="4" t="s">
        <v>11</v>
      </c>
      <c r="B10" s="5" t="s">
        <v>12</v>
      </c>
    </row>
    <row r="13" customFormat="false" ht="15" hidden="false" customHeight="true" outlineLevel="0" collapsed="false">
      <c r="A13" s="3" t="s">
        <v>13</v>
      </c>
    </row>
    <row r="14" customFormat="false" ht="15" hidden="false" customHeight="true" outlineLevel="0" collapsed="false">
      <c r="A14" s="4" t="s">
        <v>14</v>
      </c>
      <c r="B14" s="9" t="n">
        <v>0.000516</v>
      </c>
    </row>
    <row r="15" customFormat="false" ht="15" hidden="false" customHeight="true" outlineLevel="0" collapsed="false">
      <c r="A15" s="4" t="s">
        <v>15</v>
      </c>
      <c r="B15" s="9" t="n">
        <v>0.000516</v>
      </c>
    </row>
    <row r="16" customFormat="false" ht="15" hidden="false" customHeight="true" outlineLevel="0" collapsed="false">
      <c r="A16" s="4" t="s">
        <v>16</v>
      </c>
      <c r="B16" s="10" t="n">
        <f aca="false">B15*2</f>
        <v>0.001032</v>
      </c>
    </row>
    <row r="17" customFormat="false" ht="15" hidden="false" customHeight="true" outlineLevel="0" collapsed="false">
      <c r="A17" s="4" t="s">
        <v>17</v>
      </c>
      <c r="B17" s="6" t="n">
        <v>10.5</v>
      </c>
    </row>
    <row r="18" customFormat="false" ht="15" hidden="false" customHeight="true" outlineLevel="0" collapsed="false">
      <c r="A18" s="4" t="s">
        <v>18</v>
      </c>
      <c r="B18" s="6" t="n">
        <v>15.18</v>
      </c>
    </row>
    <row r="19" customFormat="false" ht="15" hidden="false" customHeight="true" outlineLevel="0" collapsed="false">
      <c r="A19" s="4" t="s">
        <v>19</v>
      </c>
      <c r="B19" s="11" t="n">
        <v>3500</v>
      </c>
    </row>
    <row r="20" customFormat="false" ht="15" hidden="false" customHeight="true" outlineLevel="0" collapsed="false">
      <c r="A20" s="4" t="s">
        <v>20</v>
      </c>
      <c r="B20" s="11" t="n">
        <v>12000</v>
      </c>
    </row>
    <row r="21" customFormat="false" ht="15" hidden="false" customHeight="true" outlineLevel="0" collapsed="false">
      <c r="A21" s="4" t="s">
        <v>21</v>
      </c>
      <c r="B21" s="11" t="n">
        <v>1500</v>
      </c>
    </row>
    <row r="22" customFormat="false" ht="15" hidden="false" customHeight="true" outlineLevel="0" collapsed="false">
      <c r="A22" s="4" t="s">
        <v>22</v>
      </c>
      <c r="B22" s="12" t="n">
        <v>0.5</v>
      </c>
    </row>
    <row r="25" customFormat="false" ht="15" hidden="false" customHeight="true" outlineLevel="0" collapsed="false">
      <c r="A25" s="3" t="s">
        <v>23</v>
      </c>
    </row>
    <row r="26" customFormat="false" ht="15" hidden="false" customHeight="true" outlineLevel="0" collapsed="false">
      <c r="A26" s="4" t="s">
        <v>24</v>
      </c>
      <c r="B26" s="8" t="n">
        <v>4</v>
      </c>
    </row>
    <row r="27" customFormat="false" ht="15" hidden="false" customHeight="true" outlineLevel="0" collapsed="false">
      <c r="A27" s="4" t="s">
        <v>25</v>
      </c>
      <c r="B27" s="13" t="n">
        <v>9</v>
      </c>
    </row>
    <row r="28" customFormat="false" ht="15" hidden="false" customHeight="true" outlineLevel="0" collapsed="false">
      <c r="A28" s="4" t="s">
        <v>26</v>
      </c>
      <c r="B28" s="8" t="n">
        <v>47</v>
      </c>
    </row>
    <row r="29" customFormat="false" ht="15" hidden="false" customHeight="true" outlineLevel="0" collapsed="false">
      <c r="A29" s="4" t="s">
        <v>27</v>
      </c>
      <c r="B29" s="14" t="n">
        <f aca="false">B26*B27*52/12</f>
        <v>156</v>
      </c>
    </row>
    <row r="30" customFormat="false" ht="15" hidden="false" customHeight="true" outlineLevel="0" collapsed="false">
      <c r="A30" s="4" t="s">
        <v>28</v>
      </c>
      <c r="B30" s="15" t="n">
        <f aca="false">B26*B27*B28</f>
        <v>1692</v>
      </c>
    </row>
    <row r="31" customFormat="false" ht="15" hidden="false" customHeight="true" outlineLevel="0" collapsed="false">
      <c r="A31" s="4" t="s">
        <v>29</v>
      </c>
      <c r="B31" s="7" t="n">
        <f aca="false">B6*B14</f>
        <v>3.87</v>
      </c>
    </row>
    <row r="32" customFormat="false" ht="15" hidden="false" customHeight="true" outlineLevel="0" collapsed="false">
      <c r="A32" s="4" t="s">
        <v>30</v>
      </c>
      <c r="B32" s="7" t="n">
        <f aca="false">B31*B29</f>
        <v>603.72</v>
      </c>
    </row>
    <row r="33" customFormat="false" ht="15" hidden="false" customHeight="true" outlineLevel="0" collapsed="false">
      <c r="A33" s="4" t="s">
        <v>31</v>
      </c>
      <c r="B33" s="7" t="n">
        <f aca="false">B31*B30</f>
        <v>6548.04</v>
      </c>
    </row>
    <row r="34" customFormat="false" ht="15" hidden="false" customHeight="true" outlineLevel="0" collapsed="false">
      <c r="A34" s="4" t="s">
        <v>32</v>
      </c>
      <c r="B34" s="7" t="n">
        <f aca="false">MIN(B33*B22, B19*B22)</f>
        <v>1750</v>
      </c>
    </row>
    <row r="35" customFormat="false" ht="15" hidden="false" customHeight="true" outlineLevel="0" collapsed="false">
      <c r="A35" s="4" t="s">
        <v>33</v>
      </c>
      <c r="B35" s="16" t="n">
        <f aca="false">B33-B34</f>
        <v>4798.04</v>
      </c>
    </row>
    <row r="37" customFormat="false" ht="15" hidden="false" customHeight="true" outlineLevel="0" collapsed="false">
      <c r="A37" s="3" t="s">
        <v>34</v>
      </c>
    </row>
    <row r="38" customFormat="false" ht="15" hidden="false" customHeight="true" outlineLevel="0" collapsed="false">
      <c r="A38" s="4" t="s">
        <v>35</v>
      </c>
      <c r="B38" s="6" t="n">
        <v>9.73</v>
      </c>
    </row>
    <row r="39" customFormat="false" ht="15" hidden="false" customHeight="true" outlineLevel="0" collapsed="false">
      <c r="A39" s="4" t="s">
        <v>36</v>
      </c>
      <c r="B39" s="7" t="n">
        <f aca="false">B38/0.78</f>
        <v>12.474358974359</v>
      </c>
    </row>
    <row r="40" customFormat="false" ht="15" hidden="false" customHeight="true" outlineLevel="0" collapsed="false">
      <c r="A40" s="4" t="s">
        <v>37</v>
      </c>
      <c r="B40" s="12" t="n">
        <v>0.35</v>
      </c>
    </row>
    <row r="41" customFormat="false" ht="15" hidden="false" customHeight="true" outlineLevel="0" collapsed="false">
      <c r="A41" s="4" t="s">
        <v>38</v>
      </c>
      <c r="B41" s="7" t="n">
        <f aca="false">B39*B40</f>
        <v>4.36602564102564</v>
      </c>
    </row>
    <row r="42" customFormat="false" ht="15" hidden="false" customHeight="true" outlineLevel="0" collapsed="false">
      <c r="A42" s="4" t="s">
        <v>39</v>
      </c>
      <c r="B42" s="7" t="n">
        <f aca="false">B39+B41</f>
        <v>16.8403846153846</v>
      </c>
    </row>
    <row r="43" customFormat="false" ht="15" hidden="false" customHeight="true" outlineLevel="0" collapsed="false">
      <c r="A43" s="4"/>
      <c r="B43" s="17"/>
    </row>
    <row r="44" customFormat="false" ht="15" hidden="false" customHeight="true" outlineLevel="0" collapsed="false">
      <c r="A44" s="4" t="s">
        <v>40</v>
      </c>
      <c r="B44" s="13" t="n">
        <v>17.5</v>
      </c>
    </row>
    <row r="45" customFormat="false" ht="15" hidden="false" customHeight="true" outlineLevel="0" collapsed="false">
      <c r="A45" s="4" t="s">
        <v>41</v>
      </c>
      <c r="B45" s="8" t="n">
        <v>47</v>
      </c>
    </row>
    <row r="46" customFormat="false" ht="15" hidden="false" customHeight="true" outlineLevel="0" collapsed="false">
      <c r="A46" s="4" t="s">
        <v>27</v>
      </c>
      <c r="B46" s="14" t="n">
        <f aca="false">B44*52/12</f>
        <v>75.8333333333333</v>
      </c>
    </row>
    <row r="47" customFormat="false" ht="15" hidden="false" customHeight="true" outlineLevel="0" collapsed="false">
      <c r="A47" s="4" t="s">
        <v>28</v>
      </c>
      <c r="B47" s="15" t="n">
        <f aca="false">B44*B45</f>
        <v>822.5</v>
      </c>
    </row>
    <row r="48" customFormat="false" ht="15" hidden="false" customHeight="true" outlineLevel="0" collapsed="false">
      <c r="A48" s="4"/>
      <c r="B48" s="17"/>
    </row>
    <row r="49" customFormat="false" ht="15" hidden="false" customHeight="true" outlineLevel="0" collapsed="false">
      <c r="A49" s="4" t="s">
        <v>42</v>
      </c>
      <c r="B49" s="7" t="n">
        <f aca="false">B42*B46</f>
        <v>1277.0625</v>
      </c>
    </row>
    <row r="50" customFormat="false" ht="15" hidden="false" customHeight="true" outlineLevel="0" collapsed="false">
      <c r="A50" s="4" t="s">
        <v>43</v>
      </c>
      <c r="B50" s="7" t="n">
        <f aca="false">B42*B47</f>
        <v>13851.2163461538</v>
      </c>
    </row>
    <row r="51" customFormat="false" ht="15" hidden="false" customHeight="true" outlineLevel="0" collapsed="false">
      <c r="A51" s="4"/>
      <c r="B51" s="17"/>
    </row>
    <row r="52" customFormat="false" ht="15" hidden="false" customHeight="true" outlineLevel="0" collapsed="false">
      <c r="A52" s="4" t="s">
        <v>44</v>
      </c>
      <c r="B52" s="7" t="n">
        <f aca="false">MIN(B42,B18)*B46*(1-(B6*B16/B17))</f>
        <v>302.588</v>
      </c>
    </row>
    <row r="53" customFormat="false" ht="15" hidden="false" customHeight="true" outlineLevel="0" collapsed="false">
      <c r="A53" s="4" t="s">
        <v>45</v>
      </c>
      <c r="B53" s="7" t="n">
        <f aca="false">B52*12</f>
        <v>3631.056</v>
      </c>
    </row>
    <row r="54" customFormat="false" ht="15" hidden="false" customHeight="true" outlineLevel="0" collapsed="false">
      <c r="A54" s="4"/>
      <c r="B54" s="17"/>
    </row>
    <row r="55" customFormat="false" ht="15" hidden="false" customHeight="true" outlineLevel="0" collapsed="false">
      <c r="A55" s="4" t="s">
        <v>46</v>
      </c>
      <c r="B55" s="7" t="n">
        <f aca="false">B50-B53</f>
        <v>10220.1603461538</v>
      </c>
    </row>
    <row r="56" customFormat="false" ht="15" hidden="false" customHeight="true" outlineLevel="0" collapsed="false">
      <c r="A56" s="4" t="s">
        <v>47</v>
      </c>
      <c r="B56" s="18" t="n">
        <f aca="false">B20+B21*B7</f>
        <v>15000</v>
      </c>
    </row>
    <row r="57" customFormat="false" ht="15" hidden="false" customHeight="true" outlineLevel="0" collapsed="false">
      <c r="A57" s="4" t="s">
        <v>48</v>
      </c>
      <c r="B57" s="7" t="n">
        <f aca="false">MIN(B55,B56)</f>
        <v>10220.1603461538</v>
      </c>
    </row>
    <row r="58" customFormat="false" ht="15" hidden="false" customHeight="true" outlineLevel="0" collapsed="false">
      <c r="A58" s="4" t="s">
        <v>49</v>
      </c>
      <c r="B58" s="7" t="n">
        <f aca="false">B57*B22</f>
        <v>5110.08017307692</v>
      </c>
    </row>
    <row r="59" customFormat="false" ht="15" hidden="false" customHeight="true" outlineLevel="0" collapsed="false">
      <c r="A59" s="4"/>
      <c r="B59" s="17"/>
    </row>
    <row r="60" customFormat="false" ht="15" hidden="false" customHeight="true" outlineLevel="0" collapsed="false">
      <c r="A60" s="4" t="s">
        <v>50</v>
      </c>
      <c r="B60" s="16" t="n">
        <f aca="false">B55-B58</f>
        <v>5110.08017307692</v>
      </c>
    </row>
    <row r="62" customFormat="false" ht="15.75" hidden="false" customHeight="true" outlineLevel="0" collapsed="false">
      <c r="A62" s="19" t="s">
        <v>51</v>
      </c>
      <c r="B62" s="20" t="n">
        <f aca="false">B35+B60</f>
        <v>9908.12017307692</v>
      </c>
    </row>
    <row r="63" customFormat="false" ht="15" hidden="false" customHeight="true" outlineLevel="0" collapsed="false">
      <c r="A63" s="21" t="s">
        <v>52</v>
      </c>
      <c r="B63" s="22" t="n">
        <f aca="false">B62/12</f>
        <v>825.676681089743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2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23" t="s">
        <v>53</v>
      </c>
      <c r="B1" s="23"/>
      <c r="C1" s="23"/>
      <c r="D1" s="23"/>
      <c r="E1" s="23"/>
    </row>
    <row r="2" customFormat="false" ht="15" hidden="false" customHeight="false" outlineLevel="0" collapsed="false">
      <c r="A2" s="24" t="s">
        <v>54</v>
      </c>
      <c r="B2" s="24"/>
      <c r="C2" s="24"/>
      <c r="D2" s="24"/>
      <c r="E2" s="24"/>
    </row>
    <row r="4" customFormat="false" ht="39.75" hidden="false" customHeight="true" outlineLevel="0" collapsed="false">
      <c r="A4" s="25"/>
      <c r="B4" s="25" t="s">
        <v>55</v>
      </c>
      <c r="C4" s="25" t="s">
        <v>56</v>
      </c>
      <c r="D4" s="25" t="s">
        <v>57</v>
      </c>
      <c r="E4" s="26" t="s">
        <v>58</v>
      </c>
    </row>
    <row r="6" customFormat="false" ht="15" hidden="false" customHeight="false" outlineLevel="0" collapsed="false">
      <c r="A6" s="27" t="s">
        <v>59</v>
      </c>
    </row>
    <row r="7" customFormat="false" ht="15" hidden="false" customHeight="false" outlineLevel="0" collapsed="false">
      <c r="A7" s="28" t="s">
        <v>60</v>
      </c>
      <c r="B7" s="29" t="n">
        <v>52</v>
      </c>
      <c r="C7" s="29" t="n">
        <v>52</v>
      </c>
      <c r="D7" s="29" t="n">
        <v>52</v>
      </c>
      <c r="E7" s="30"/>
    </row>
    <row r="8" customFormat="false" ht="15" hidden="false" customHeight="false" outlineLevel="0" collapsed="false">
      <c r="A8" s="28" t="s">
        <v>61</v>
      </c>
      <c r="B8" s="31" t="n">
        <v>9.73</v>
      </c>
      <c r="C8" s="31" t="n">
        <v>10.5</v>
      </c>
      <c r="D8" s="31" t="n">
        <v>11</v>
      </c>
      <c r="E8" s="30"/>
    </row>
    <row r="9" customFormat="false" ht="15" hidden="false" customHeight="false" outlineLevel="0" collapsed="false">
      <c r="A9" s="28" t="s">
        <v>62</v>
      </c>
      <c r="B9" s="32" t="n">
        <v>17</v>
      </c>
      <c r="C9" s="32" t="n">
        <v>20</v>
      </c>
      <c r="D9" s="32" t="n">
        <v>20</v>
      </c>
      <c r="E9" s="30"/>
    </row>
    <row r="10" customFormat="false" ht="15" hidden="false" customHeight="false" outlineLevel="0" collapsed="false">
      <c r="A10" s="28" t="s">
        <v>63</v>
      </c>
      <c r="B10" s="33" t="n">
        <f aca="false">B9*B7/12</f>
        <v>73.6666666666667</v>
      </c>
      <c r="C10" s="33" t="n">
        <f aca="false">C9*C7/12</f>
        <v>86.6666666666667</v>
      </c>
      <c r="D10" s="33" t="n">
        <f aca="false">D9*D7/12</f>
        <v>86.6666666666667</v>
      </c>
      <c r="E10" s="34" t="n">
        <f aca="false">D10-B10</f>
        <v>13</v>
      </c>
    </row>
    <row r="12" customFormat="false" ht="15" hidden="false" customHeight="false" outlineLevel="0" collapsed="false">
      <c r="A12" s="27" t="s">
        <v>64</v>
      </c>
    </row>
    <row r="13" customFormat="false" ht="15" hidden="false" customHeight="false" outlineLevel="0" collapsed="false">
      <c r="A13" s="35" t="s">
        <v>65</v>
      </c>
      <c r="B13" s="36" t="n">
        <f aca="false">B8*B10</f>
        <v>716.776666666667</v>
      </c>
      <c r="C13" s="36" t="n">
        <f aca="false">C8*C10</f>
        <v>910</v>
      </c>
      <c r="D13" s="36" t="n">
        <f aca="false">D8*D10</f>
        <v>953.333333333333</v>
      </c>
      <c r="E13" s="37" t="n">
        <f aca="false">D13-B13</f>
        <v>236.556666666667</v>
      </c>
    </row>
    <row r="15" customFormat="false" ht="15" hidden="false" customHeight="false" outlineLevel="0" collapsed="false">
      <c r="A15" s="27" t="s">
        <v>66</v>
      </c>
    </row>
    <row r="16" customFormat="false" ht="15" hidden="false" customHeight="false" outlineLevel="0" collapsed="false">
      <c r="A16" s="38" t="s">
        <v>67</v>
      </c>
      <c r="B16" s="39" t="n">
        <f aca="false">B8/0.78*1.35</f>
        <v>16.8403846153846</v>
      </c>
      <c r="C16" s="39" t="n">
        <f aca="false">C8/0.78*1.35</f>
        <v>18.1730769230769</v>
      </c>
      <c r="D16" s="39" t="n">
        <f aca="false">D8/0.78*1.35</f>
        <v>19.0384615384615</v>
      </c>
      <c r="E16" s="30"/>
    </row>
    <row r="17" customFormat="false" ht="15" hidden="false" customHeight="false" outlineLevel="0" collapsed="false">
      <c r="A17" s="28" t="s">
        <v>68</v>
      </c>
      <c r="B17" s="40" t="n">
        <f aca="false">B16*B10</f>
        <v>1240.575</v>
      </c>
      <c r="C17" s="40" t="n">
        <f aca="false">C16*C10</f>
        <v>1575</v>
      </c>
      <c r="D17" s="40" t="n">
        <f aca="false">D16*D10</f>
        <v>1650</v>
      </c>
      <c r="E17" s="30"/>
    </row>
    <row r="18" customFormat="false" ht="15" hidden="false" customHeight="false" outlineLevel="0" collapsed="false">
      <c r="A18" s="35" t="s">
        <v>69</v>
      </c>
      <c r="B18" s="41" t="n">
        <f aca="false">B17*12</f>
        <v>14886.9</v>
      </c>
      <c r="C18" s="41" t="n">
        <f aca="false">C17*12</f>
        <v>18900</v>
      </c>
      <c r="D18" s="41" t="n">
        <f aca="false">D17*12</f>
        <v>19800</v>
      </c>
      <c r="E18" s="42" t="n">
        <f aca="false">D18-B18</f>
        <v>4913.1</v>
      </c>
    </row>
    <row r="20" customFormat="false" ht="15" hidden="false" customHeight="false" outlineLevel="0" collapsed="false">
      <c r="A20" s="27" t="s">
        <v>70</v>
      </c>
    </row>
    <row r="21" customFormat="false" ht="15" hidden="false" customHeight="false" outlineLevel="0" collapsed="false">
      <c r="A21" s="38" t="s">
        <v>71</v>
      </c>
      <c r="B21" s="43" t="n">
        <v>7500</v>
      </c>
      <c r="C21" s="43" t="n">
        <v>7500</v>
      </c>
      <c r="D21" s="43" t="n">
        <v>7500</v>
      </c>
      <c r="E21" s="30"/>
    </row>
    <row r="22" customFormat="false" ht="15" hidden="false" customHeight="false" outlineLevel="0" collapsed="false">
      <c r="A22" s="38" t="s">
        <v>72</v>
      </c>
      <c r="B22" s="44" t="n">
        <v>0.001032</v>
      </c>
      <c r="C22" s="44" t="n">
        <v>0.001032</v>
      </c>
      <c r="D22" s="44" t="n">
        <v>0.001032</v>
      </c>
      <c r="E22" s="30"/>
    </row>
    <row r="23" customFormat="false" ht="15" hidden="false" customHeight="false" outlineLevel="0" collapsed="false">
      <c r="A23" s="38" t="s">
        <v>73</v>
      </c>
      <c r="B23" s="39" t="n">
        <v>10.5</v>
      </c>
      <c r="C23" s="39" t="n">
        <v>10.5</v>
      </c>
      <c r="D23" s="39" t="n">
        <v>10.5</v>
      </c>
      <c r="E23" s="30"/>
    </row>
    <row r="24" customFormat="false" ht="15" hidden="false" customHeight="false" outlineLevel="0" collapsed="false">
      <c r="A24" s="38" t="s">
        <v>74</v>
      </c>
      <c r="B24" s="39" t="n">
        <v>15.18</v>
      </c>
      <c r="C24" s="39" t="n">
        <v>15.18</v>
      </c>
      <c r="D24" s="39" t="n">
        <v>15.18</v>
      </c>
      <c r="E24" s="30"/>
    </row>
    <row r="26" customFormat="false" ht="15" hidden="false" customHeight="false" outlineLevel="0" collapsed="false">
      <c r="A26" s="35" t="s">
        <v>75</v>
      </c>
      <c r="B26" s="45" t="n">
        <f aca="false">MIN(B16,B24)*B10*(1-(B21*B22/B23))</f>
        <v>293.942628571429</v>
      </c>
      <c r="C26" s="45" t="n">
        <f aca="false">MIN(C16,C24)*C10*(1-(C21*C22/C23))</f>
        <v>345.814857142857</v>
      </c>
      <c r="D26" s="45" t="n">
        <f aca="false">MIN(D16,D24)*D10*(1-(D21*D22/D23))</f>
        <v>345.814857142857</v>
      </c>
      <c r="E26" s="46" t="n">
        <f aca="false">D26-B26</f>
        <v>51.8722285714287</v>
      </c>
    </row>
    <row r="27" customFormat="false" ht="15" hidden="false" customHeight="false" outlineLevel="0" collapsed="false">
      <c r="A27" s="28" t="s">
        <v>76</v>
      </c>
      <c r="B27" s="40" t="n">
        <f aca="false">B26*12</f>
        <v>3527.31154285714</v>
      </c>
      <c r="C27" s="40" t="n">
        <f aca="false">C26*12</f>
        <v>4149.77828571429</v>
      </c>
      <c r="D27" s="40" t="n">
        <f aca="false">D26*12</f>
        <v>4149.77828571429</v>
      </c>
      <c r="E27" s="30"/>
    </row>
    <row r="29" customFormat="false" ht="15" hidden="false" customHeight="false" outlineLevel="0" collapsed="false">
      <c r="A29" s="28" t="s">
        <v>77</v>
      </c>
      <c r="B29" s="40" t="n">
        <f aca="false">B18-B27</f>
        <v>11359.5884571429</v>
      </c>
      <c r="C29" s="40" t="n">
        <f aca="false">C18-C27</f>
        <v>14750.2217142857</v>
      </c>
      <c r="D29" s="40" t="n">
        <f aca="false">D18-D27</f>
        <v>15650.2217142857</v>
      </c>
      <c r="E29" s="30"/>
    </row>
    <row r="30" customFormat="false" ht="15" hidden="false" customHeight="false" outlineLevel="0" collapsed="false">
      <c r="A30" s="28" t="s">
        <v>78</v>
      </c>
      <c r="B30" s="47" t="n">
        <v>15000</v>
      </c>
      <c r="C30" s="47" t="n">
        <v>15000</v>
      </c>
      <c r="D30" s="47" t="n">
        <v>15000</v>
      </c>
      <c r="E30" s="30"/>
    </row>
    <row r="31" customFormat="false" ht="22.35" hidden="false" customHeight="false" outlineLevel="0" collapsed="false">
      <c r="A31" s="48" t="s">
        <v>79</v>
      </c>
      <c r="B31" s="49" t="str">
        <f aca="false">IF(B29&gt;B30,"Oui: "&amp;TEXT(B29-B30,"# ##0€")&amp;" → perte CI "&amp;TEXT((B29-B30)*0.5,"# ##0€"),"Non (marge "&amp;TEXT(B30-B29,"# ##0€")&amp;")")</f>
        <v>Non (marge 3 640€)</v>
      </c>
      <c r="C31" s="49" t="str">
        <f aca="false">IF(C29&gt;C30,"Oui: "&amp;TEXT(C29-C30,"# ##0€")&amp;" → perte CI "&amp;TEXT((C29-C30)*0.5,"# ##0€"),"Non (marge "&amp;TEXT(C30-C29,"# ##0€")&amp;")")</f>
        <v>Non (marge  250€)</v>
      </c>
      <c r="D31" s="49" t="str">
        <f aca="false">IF(D29&gt;D30,"Oui: "&amp;TEXT(D29-D30,"# ##0€")&amp;" → perte CI "&amp;TEXT((D29-D30)*0.5,"# ##0€"),"Non (marge "&amp;TEXT(D30-D29,"# ##0€")&amp;")")</f>
        <v>Oui:  650€ → perte CI  325€</v>
      </c>
      <c r="E31" s="30"/>
    </row>
    <row r="32" customFormat="false" ht="15" hidden="false" customHeight="false" outlineLevel="0" collapsed="false">
      <c r="A32" s="35" t="s">
        <v>80</v>
      </c>
      <c r="B32" s="45" t="n">
        <f aca="false">MIN(B29,B30)*0.5</f>
        <v>5679.79422857143</v>
      </c>
      <c r="C32" s="45" t="n">
        <f aca="false">MIN(C29,C30)*0.5</f>
        <v>7375.11085714286</v>
      </c>
      <c r="D32" s="45" t="n">
        <f aca="false">MIN(D29,D30)*0.5</f>
        <v>7500</v>
      </c>
      <c r="E32" s="46" t="n">
        <f aca="false">D32-B32</f>
        <v>1820.20577142857</v>
      </c>
    </row>
    <row r="34" customFormat="false" ht="15" hidden="false" customHeight="false" outlineLevel="0" collapsed="false">
      <c r="A34" s="27" t="s">
        <v>81</v>
      </c>
    </row>
    <row r="35" customFormat="false" ht="15" hidden="false" customHeight="false" outlineLevel="0" collapsed="false">
      <c r="A35" s="35" t="s">
        <v>82</v>
      </c>
      <c r="B35" s="41" t="n">
        <f aca="false">B29-B32</f>
        <v>5679.79422857143</v>
      </c>
      <c r="C35" s="41" t="n">
        <f aca="false">C29-C32</f>
        <v>7375.11085714286</v>
      </c>
      <c r="D35" s="41" t="n">
        <f aca="false">D29-D32</f>
        <v>8150.22171428572</v>
      </c>
      <c r="E35" s="30"/>
    </row>
    <row r="36" customFormat="false" ht="15" hidden="false" customHeight="false" outlineLevel="0" collapsed="false">
      <c r="A36" s="35" t="s">
        <v>83</v>
      </c>
      <c r="B36" s="41" t="n">
        <f aca="false">B35/12</f>
        <v>473.316185714286</v>
      </c>
      <c r="C36" s="41" t="n">
        <f aca="false">C35/12</f>
        <v>614.592571428571</v>
      </c>
      <c r="D36" s="41" t="n">
        <f aca="false">D35/12</f>
        <v>679.185142857143</v>
      </c>
      <c r="E36" s="42" t="n">
        <f aca="false">D36-B36</f>
        <v>205.868957142857</v>
      </c>
    </row>
    <row r="38" customFormat="false" ht="15" hidden="false" customHeight="false" outlineLevel="0" collapsed="false">
      <c r="A38" s="50" t="s">
        <v>84</v>
      </c>
    </row>
    <row r="39" customFormat="false" ht="15" hidden="false" customHeight="false" outlineLevel="0" collapsed="false">
      <c r="A39" s="28" t="s">
        <v>85</v>
      </c>
      <c r="B39" s="51" t="n">
        <v>0</v>
      </c>
      <c r="C39" s="29" t="n">
        <v>3</v>
      </c>
      <c r="D39" s="29" t="n">
        <v>2</v>
      </c>
      <c r="E39" s="30"/>
    </row>
    <row r="40" customFormat="false" ht="15" hidden="false" customHeight="false" outlineLevel="0" collapsed="false">
      <c r="A40" s="28" t="s">
        <v>86</v>
      </c>
      <c r="B40" s="43" t="n">
        <v>0</v>
      </c>
      <c r="C40" s="47" t="n">
        <v>300</v>
      </c>
      <c r="D40" s="47" t="n">
        <v>250</v>
      </c>
      <c r="E40" s="30"/>
    </row>
    <row r="41" customFormat="false" ht="15" hidden="false" customHeight="false" outlineLevel="0" collapsed="false">
      <c r="A41" s="35" t="s">
        <v>87</v>
      </c>
      <c r="B41" s="52" t="n">
        <f aca="false">B39*B40</f>
        <v>0</v>
      </c>
      <c r="C41" s="52" t="n">
        <f aca="false">C39*C40</f>
        <v>900</v>
      </c>
      <c r="D41" s="52" t="n">
        <f aca="false">D39*D40</f>
        <v>500</v>
      </c>
      <c r="E41" s="30"/>
    </row>
    <row r="42" customFormat="false" ht="15" hidden="false" customHeight="false" outlineLevel="0" collapsed="false">
      <c r="A42" s="28" t="s">
        <v>88</v>
      </c>
      <c r="B42" s="53" t="n">
        <f aca="false">B41/12</f>
        <v>0</v>
      </c>
      <c r="C42" s="53" t="n">
        <f aca="false">C41/12</f>
        <v>75</v>
      </c>
      <c r="D42" s="53" t="n">
        <f aca="false">D41/12</f>
        <v>41.6666666666667</v>
      </c>
      <c r="E42" s="30"/>
    </row>
    <row r="44" customFormat="false" ht="16.15" hidden="false" customHeight="false" outlineLevel="0" collapsed="false">
      <c r="A44" s="54" t="s">
        <v>89</v>
      </c>
    </row>
    <row r="45" customFormat="false" ht="17.35" hidden="false" customHeight="false" outlineLevel="0" collapsed="false">
      <c r="A45" s="55" t="s">
        <v>90</v>
      </c>
      <c r="B45" s="56" t="n">
        <f aca="false">B13+B42</f>
        <v>716.776666666667</v>
      </c>
      <c r="C45" s="56" t="n">
        <f aca="false">C13+C42</f>
        <v>985</v>
      </c>
      <c r="D45" s="56" t="n">
        <f aca="false">D13+D42</f>
        <v>995</v>
      </c>
      <c r="E45" s="57" t="n">
        <f aca="false">D45-B45</f>
        <v>278.223333333333</v>
      </c>
    </row>
    <row r="46" customFormat="false" ht="15" hidden="false" customHeight="false" outlineLevel="0" collapsed="false">
      <c r="A46" s="28" t="s">
        <v>91</v>
      </c>
      <c r="B46" s="40" t="n">
        <f aca="false">B45*12</f>
        <v>8601.32</v>
      </c>
      <c r="C46" s="40" t="n">
        <f aca="false">C45*12</f>
        <v>11820</v>
      </c>
      <c r="D46" s="40" t="n">
        <f aca="false">D45*12</f>
        <v>11940</v>
      </c>
      <c r="E46" s="30"/>
    </row>
    <row r="48" customFormat="false" ht="16.15" hidden="false" customHeight="false" outlineLevel="0" collapsed="false">
      <c r="A48" s="54" t="s">
        <v>92</v>
      </c>
      <c r="B48" s="58" t="n">
        <f aca="false">B36+B42</f>
        <v>473.316185714286</v>
      </c>
      <c r="C48" s="58" t="n">
        <f aca="false">C36+C42</f>
        <v>689.592571428571</v>
      </c>
      <c r="D48" s="58" t="n">
        <f aca="false">D36+D42</f>
        <v>720.85180952381</v>
      </c>
      <c r="E48" s="59" t="n">
        <f aca="false">D48-B48</f>
        <v>247.535623809524</v>
      </c>
    </row>
    <row r="49" customFormat="false" ht="15" hidden="false" customHeight="false" outlineLevel="0" collapsed="false">
      <c r="A49" s="28" t="s">
        <v>93</v>
      </c>
      <c r="B49" s="40" t="n">
        <f aca="false">B48*12</f>
        <v>5679.79422857143</v>
      </c>
      <c r="C49" s="40" t="n">
        <f aca="false">C48*12</f>
        <v>8275.11085714286</v>
      </c>
      <c r="D49" s="40" t="n">
        <f aca="false">D48*12</f>
        <v>8650.22171428572</v>
      </c>
      <c r="E49" s="30"/>
    </row>
    <row r="51" customFormat="false" ht="15" hidden="false" customHeight="false" outlineLevel="0" collapsed="false">
      <c r="A51" s="28" t="s">
        <v>94</v>
      </c>
      <c r="B51" s="40" t="n">
        <f aca="false">'Situation actuelle'!B35</f>
        <v>4798.04</v>
      </c>
      <c r="C51" s="40" t="n">
        <f aca="false">'Situation actuelle'!B35</f>
        <v>4798.04</v>
      </c>
      <c r="D51" s="40" t="n">
        <f aca="false">'Situation actuelle'!B35</f>
        <v>4798.04</v>
      </c>
      <c r="E51" s="30"/>
    </row>
    <row r="53" customFormat="false" ht="17.35" hidden="false" customHeight="false" outlineLevel="0" collapsed="false">
      <c r="A53" s="60" t="s">
        <v>95</v>
      </c>
      <c r="B53" s="61" t="n">
        <f aca="false">(B49+B51)/12</f>
        <v>873.152852380952</v>
      </c>
      <c r="C53" s="61" t="n">
        <f aca="false">(C49+C51)/12</f>
        <v>1089.42923809524</v>
      </c>
      <c r="D53" s="61" t="n">
        <f aca="false">(D49+D51)/12</f>
        <v>1120.68847619048</v>
      </c>
      <c r="E53" s="62" t="n">
        <f aca="false">D53-B53</f>
        <v>247.535623809524</v>
      </c>
    </row>
    <row r="54" customFormat="false" ht="15" hidden="false" customHeight="false" outlineLevel="0" collapsed="false">
      <c r="A54" s="35" t="s">
        <v>96</v>
      </c>
      <c r="B54" s="63" t="n">
        <f aca="false">B53*12</f>
        <v>10477.8342285714</v>
      </c>
      <c r="C54" s="63" t="n">
        <f aca="false">C53*12</f>
        <v>13073.1508571429</v>
      </c>
      <c r="D54" s="63" t="n">
        <f aca="false">D53*12</f>
        <v>13448.2617142857</v>
      </c>
      <c r="E54" s="64" t="n">
        <f aca="false">D54-B54</f>
        <v>2970.42748571429</v>
      </c>
    </row>
    <row r="57" customFormat="false" ht="15" hidden="false" customHeight="false" outlineLevel="0" collapsed="false">
      <c r="A57" s="65" t="s">
        <v>97</v>
      </c>
      <c r="B57" s="65"/>
      <c r="C57" s="65"/>
      <c r="D57" s="65"/>
      <c r="E57" s="65"/>
    </row>
    <row r="58" customFormat="false" ht="15" hidden="false" customHeight="false" outlineLevel="0" collapsed="false">
      <c r="A58" s="66" t="s">
        <v>98</v>
      </c>
      <c r="B58" s="66"/>
      <c r="C58" s="66"/>
      <c r="D58" s="66"/>
      <c r="E58" s="66"/>
    </row>
    <row r="59" customFormat="false" ht="15" hidden="false" customHeight="false" outlineLevel="0" collapsed="false">
      <c r="A59" s="67" t="s">
        <v>99</v>
      </c>
      <c r="B59" s="67"/>
      <c r="C59" s="67"/>
      <c r="D59" s="67"/>
      <c r="E59" s="67"/>
    </row>
    <row r="60" customFormat="false" ht="15" hidden="false" customHeight="false" outlineLevel="0" collapsed="false">
      <c r="A60" s="67" t="s">
        <v>100</v>
      </c>
      <c r="B60" s="67"/>
      <c r="C60" s="67"/>
      <c r="D60" s="67"/>
      <c r="E60" s="67"/>
    </row>
    <row r="61" customFormat="false" ht="15" hidden="false" customHeight="false" outlineLevel="0" collapsed="false">
      <c r="A61" s="67" t="s">
        <v>101</v>
      </c>
      <c r="B61" s="67"/>
      <c r="C61" s="67"/>
      <c r="D61" s="67"/>
      <c r="E61" s="67"/>
    </row>
    <row r="62" customFormat="false" ht="15" hidden="false" customHeight="false" outlineLevel="0" collapsed="false">
      <c r="A62" s="68"/>
      <c r="B62" s="68"/>
      <c r="C62" s="68"/>
      <c r="D62" s="68"/>
      <c r="E62" s="68"/>
    </row>
    <row r="63" customFormat="false" ht="15" hidden="false" customHeight="false" outlineLevel="0" collapsed="false">
      <c r="A63" s="69" t="s">
        <v>102</v>
      </c>
      <c r="B63" s="69"/>
      <c r="C63" s="69"/>
      <c r="D63" s="69"/>
      <c r="E63" s="69"/>
    </row>
    <row r="64" customFormat="false" ht="15" hidden="false" customHeight="false" outlineLevel="0" collapsed="false">
      <c r="A64" s="67" t="s">
        <v>103</v>
      </c>
      <c r="B64" s="67"/>
      <c r="C64" s="67"/>
      <c r="D64" s="67"/>
      <c r="E64" s="67"/>
    </row>
    <row r="65" customFormat="false" ht="15" hidden="false" customHeight="false" outlineLevel="0" collapsed="false">
      <c r="A65" s="67" t="s">
        <v>104</v>
      </c>
      <c r="B65" s="67"/>
      <c r="C65" s="67"/>
      <c r="D65" s="67"/>
      <c r="E65" s="67"/>
    </row>
    <row r="66" customFormat="false" ht="15" hidden="false" customHeight="false" outlineLevel="0" collapsed="false">
      <c r="A66" s="67" t="s">
        <v>105</v>
      </c>
      <c r="B66" s="67"/>
      <c r="C66" s="67"/>
      <c r="D66" s="67"/>
      <c r="E66" s="67"/>
    </row>
    <row r="67" customFormat="false" ht="15" hidden="false" customHeight="false" outlineLevel="0" collapsed="false">
      <c r="A67" s="67" t="s">
        <v>106</v>
      </c>
      <c r="B67" s="67"/>
      <c r="C67" s="67"/>
      <c r="D67" s="67"/>
      <c r="E67" s="67"/>
    </row>
    <row r="68" customFormat="false" ht="15" hidden="false" customHeight="false" outlineLevel="0" collapsed="false">
      <c r="A68" s="68"/>
      <c r="B68" s="68"/>
      <c r="C68" s="68"/>
      <c r="D68" s="68"/>
      <c r="E68" s="68"/>
    </row>
    <row r="69" customFormat="false" ht="15" hidden="false" customHeight="false" outlineLevel="0" collapsed="false">
      <c r="A69" s="70" t="s">
        <v>107</v>
      </c>
      <c r="B69" s="70"/>
      <c r="C69" s="70"/>
      <c r="D69" s="70"/>
      <c r="E69" s="70"/>
    </row>
    <row r="70" customFormat="false" ht="15" hidden="false" customHeight="false" outlineLevel="0" collapsed="false">
      <c r="A70" s="67" t="s">
        <v>108</v>
      </c>
      <c r="B70" s="67"/>
      <c r="C70" s="67"/>
      <c r="D70" s="67"/>
      <c r="E70" s="67"/>
    </row>
    <row r="71" customFormat="false" ht="15" hidden="false" customHeight="false" outlineLevel="0" collapsed="false">
      <c r="A71" s="68"/>
      <c r="B71" s="68"/>
      <c r="C71" s="68"/>
      <c r="D71" s="68"/>
      <c r="E71" s="68"/>
    </row>
    <row r="72" customFormat="false" ht="15" hidden="false" customHeight="false" outlineLevel="0" collapsed="false">
      <c r="A72" s="71" t="s">
        <v>109</v>
      </c>
      <c r="B72" s="71"/>
      <c r="C72" s="71"/>
      <c r="D72" s="71"/>
      <c r="E72" s="71"/>
    </row>
    <row r="73" customFormat="false" ht="15" hidden="false" customHeight="false" outlineLevel="0" collapsed="false">
      <c r="A73" s="72" t="s">
        <v>110</v>
      </c>
      <c r="B73" s="72"/>
      <c r="C73" s="72"/>
      <c r="D73" s="72"/>
      <c r="E73" s="72"/>
    </row>
  </sheetData>
  <mergeCells count="19">
    <mergeCell ref="A1:E1"/>
    <mergeCell ref="A2:E2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20"/>
  </cols>
  <sheetData>
    <row r="1" customFormat="false" ht="17.25" hidden="false" customHeight="true" outlineLevel="0" collapsed="false">
      <c r="A1" s="2" t="s">
        <v>111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73" t="s">
        <v>112</v>
      </c>
      <c r="B2" s="73"/>
      <c r="C2" s="73"/>
      <c r="D2" s="73"/>
      <c r="E2" s="73"/>
      <c r="F2" s="73"/>
    </row>
    <row r="4" customFormat="false" ht="45" hidden="false" customHeight="true" outlineLevel="0" collapsed="false">
      <c r="A4" s="25"/>
      <c r="B4" s="25" t="s">
        <v>113</v>
      </c>
      <c r="C4" s="25" t="s">
        <v>114</v>
      </c>
      <c r="D4" s="25" t="s">
        <v>115</v>
      </c>
      <c r="E4" s="25" t="s">
        <v>116</v>
      </c>
      <c r="F4" s="25" t="s">
        <v>117</v>
      </c>
    </row>
    <row r="5" customFormat="false" ht="15" hidden="false" customHeight="true" outlineLevel="0" collapsed="false">
      <c r="A5" s="3" t="s">
        <v>118</v>
      </c>
    </row>
    <row r="6" customFormat="false" ht="15" hidden="false" customHeight="true" outlineLevel="0" collapsed="false">
      <c r="A6" s="4" t="s">
        <v>119</v>
      </c>
      <c r="B6" s="74" t="n">
        <v>9.73</v>
      </c>
      <c r="C6" s="74" t="n">
        <v>10.5</v>
      </c>
      <c r="D6" s="74" t="n">
        <v>11</v>
      </c>
      <c r="E6" s="74" t="n">
        <v>10.5</v>
      </c>
      <c r="F6" s="74" t="n">
        <v>11.5</v>
      </c>
    </row>
    <row r="7" customFormat="false" ht="15" hidden="false" customHeight="true" outlineLevel="0" collapsed="false">
      <c r="A7" s="4" t="s">
        <v>120</v>
      </c>
      <c r="B7" s="32" t="n">
        <v>17.1</v>
      </c>
      <c r="C7" s="32" t="n">
        <v>22</v>
      </c>
      <c r="D7" s="32" t="n">
        <v>21</v>
      </c>
      <c r="E7" s="32" t="n">
        <v>22.9</v>
      </c>
      <c r="F7" s="32" t="n">
        <v>20</v>
      </c>
    </row>
    <row r="8" customFormat="false" ht="15" hidden="false" customHeight="true" outlineLevel="0" collapsed="false">
      <c r="A8" s="4" t="s">
        <v>121</v>
      </c>
      <c r="B8" s="33" t="n">
        <f aca="false">B7*52/12</f>
        <v>74.1</v>
      </c>
      <c r="C8" s="33" t="n">
        <f aca="false">C7*52/12</f>
        <v>95.3333333333333</v>
      </c>
      <c r="D8" s="33" t="n">
        <f aca="false">D7*52/12</f>
        <v>91</v>
      </c>
      <c r="E8" s="33" t="n">
        <f aca="false">E7*52/12</f>
        <v>99.2333333333333</v>
      </c>
      <c r="F8" s="33" t="n">
        <f aca="false">F7*52/12</f>
        <v>86.6666666666667</v>
      </c>
    </row>
    <row r="9" customFormat="false" ht="15" hidden="false" customHeight="true" outlineLevel="0" collapsed="false">
      <c r="A9" s="75" t="s">
        <v>122</v>
      </c>
      <c r="B9" s="76" t="n">
        <f aca="false">B6*B8</f>
        <v>720.993</v>
      </c>
      <c r="C9" s="76" t="n">
        <f aca="false">C6*C8</f>
        <v>1001</v>
      </c>
      <c r="D9" s="76" t="n">
        <f aca="false">D6*D8</f>
        <v>1001</v>
      </c>
      <c r="E9" s="76" t="n">
        <f aca="false">E6*E8</f>
        <v>1041.95</v>
      </c>
      <c r="F9" s="76" t="n">
        <f aca="false">F6*F8</f>
        <v>996.666666666667</v>
      </c>
    </row>
    <row r="11" customFormat="false" ht="15" hidden="false" customHeight="true" outlineLevel="0" collapsed="false">
      <c r="A11" s="3" t="s">
        <v>123</v>
      </c>
    </row>
    <row r="12" customFormat="false" ht="15" hidden="false" customHeight="true" outlineLevel="0" collapsed="false">
      <c r="A12" s="4" t="s">
        <v>124</v>
      </c>
      <c r="B12" s="77" t="n">
        <f aca="false">B6/0.78*1.35</f>
        <v>16.8403846153846</v>
      </c>
      <c r="C12" s="77" t="n">
        <f aca="false">C6/0.78*1.35</f>
        <v>18.1730769230769</v>
      </c>
      <c r="D12" s="77" t="n">
        <f aca="false">D6/0.78*1.35</f>
        <v>19.0384615384615</v>
      </c>
      <c r="E12" s="77" t="n">
        <f aca="false">E6/0.78*1.35</f>
        <v>18.1730769230769</v>
      </c>
      <c r="F12" s="77" t="n">
        <f aca="false">F6/0.78*1.35</f>
        <v>19.9038461538462</v>
      </c>
    </row>
    <row r="13" customFormat="false" ht="15" hidden="false" customHeight="true" outlineLevel="0" collapsed="false">
      <c r="A13" s="4" t="s">
        <v>69</v>
      </c>
      <c r="B13" s="78" t="n">
        <f aca="false">B12*B8*12</f>
        <v>14974.47</v>
      </c>
      <c r="C13" s="78" t="n">
        <f aca="false">C12*C8*12</f>
        <v>20790</v>
      </c>
      <c r="D13" s="78" t="n">
        <f aca="false">D12*D8*12</f>
        <v>20790</v>
      </c>
      <c r="E13" s="78" t="n">
        <f aca="false">E12*E8*12</f>
        <v>21640.5</v>
      </c>
      <c r="F13" s="78" t="n">
        <f aca="false">F12*F8*12</f>
        <v>20700</v>
      </c>
    </row>
    <row r="15" customFormat="false" ht="15" hidden="false" customHeight="true" outlineLevel="0" collapsed="false">
      <c r="A15" s="3" t="s">
        <v>125</v>
      </c>
    </row>
    <row r="16" customFormat="false" ht="15" hidden="false" customHeight="true" outlineLevel="0" collapsed="false">
      <c r="A16" s="4" t="s">
        <v>76</v>
      </c>
      <c r="B16" s="78" t="n">
        <f aca="false">MIN(B12,15.18)*B8*(1-(7500*0.001032/10.5))*12</f>
        <v>3548.06043428572</v>
      </c>
      <c r="C16" s="78" t="n">
        <f aca="false">MIN(C12,15.18)*C8*(1-(7500*0.001032/10.5))*12</f>
        <v>4564.75611428572</v>
      </c>
      <c r="D16" s="78" t="n">
        <f aca="false">MIN(D12,15.18)*D8*(1-(7500*0.001032/10.5))*12</f>
        <v>4357.2672</v>
      </c>
      <c r="E16" s="78" t="n">
        <f aca="false">MIN(E12,15.18)*E8*(1-(7500*0.001032/10.5))*12</f>
        <v>4751.49613714286</v>
      </c>
      <c r="F16" s="78" t="n">
        <f aca="false">MIN(F12,15.18)*F8*(1-(7500*0.001032/10.5))*12</f>
        <v>4149.77828571429</v>
      </c>
    </row>
    <row r="17" customFormat="false" ht="15" hidden="false" customHeight="true" outlineLevel="0" collapsed="false">
      <c r="A17" s="4" t="s">
        <v>126</v>
      </c>
      <c r="B17" s="78" t="n">
        <f aca="false">B13-B16</f>
        <v>11426.4095657143</v>
      </c>
      <c r="C17" s="78" t="n">
        <f aca="false">C13-C16</f>
        <v>16225.2438857143</v>
      </c>
      <c r="D17" s="78" t="n">
        <f aca="false">D13-D16</f>
        <v>16432.7328</v>
      </c>
      <c r="E17" s="78" t="n">
        <f aca="false">E13-E16</f>
        <v>16889.0038628571</v>
      </c>
      <c r="F17" s="78" t="n">
        <f aca="false">F13-F16</f>
        <v>16550.2217142857</v>
      </c>
    </row>
    <row r="18" customFormat="false" ht="15" hidden="false" customHeight="true" outlineLevel="0" collapsed="false">
      <c r="A18" s="4" t="s">
        <v>78</v>
      </c>
      <c r="B18" s="79" t="n">
        <v>15000</v>
      </c>
      <c r="C18" s="79" t="n">
        <v>15000</v>
      </c>
      <c r="D18" s="79" t="n">
        <v>15000</v>
      </c>
      <c r="E18" s="79" t="n">
        <v>15000</v>
      </c>
      <c r="F18" s="79" t="n">
        <v>15000</v>
      </c>
    </row>
    <row r="19" customFormat="false" ht="15" hidden="false" customHeight="true" outlineLevel="0" collapsed="false">
      <c r="A19" s="4" t="s">
        <v>127</v>
      </c>
      <c r="B19" s="78" t="n">
        <f aca="false">MIN(B17,B18)*0.5</f>
        <v>5713.20478285715</v>
      </c>
      <c r="C19" s="78" t="n">
        <f aca="false">MIN(C17,C18)*0.5</f>
        <v>7500</v>
      </c>
      <c r="D19" s="78" t="n">
        <f aca="false">MIN(D17,D18)*0.5</f>
        <v>7500</v>
      </c>
      <c r="E19" s="78" t="n">
        <f aca="false">MIN(E17,E18)*0.5</f>
        <v>7500</v>
      </c>
      <c r="F19" s="78" t="n">
        <f aca="false">MIN(F17,F18)*0.5</f>
        <v>7500</v>
      </c>
    </row>
    <row r="20" customFormat="false" ht="15" hidden="false" customHeight="true" outlineLevel="0" collapsed="false">
      <c r="A20" s="80" t="s">
        <v>128</v>
      </c>
      <c r="B20" s="81" t="str">
        <f aca="false">IF(B17&gt;B18,"OUI → perte "&amp;TEXT((B17-B18)*0.5,"# ##0 €"),"Non")</f>
        <v>Non</v>
      </c>
      <c r="C20" s="81" t="str">
        <f aca="false">IF(C17&gt;C18,"OUI → perte "&amp;TEXT((C17-C18)*0.5,"# ##0 €"),"Non")</f>
        <v>OUI → perte  613 €</v>
      </c>
      <c r="D20" s="81" t="str">
        <f aca="false">IF(D17&gt;D18,"OUI → perte "&amp;TEXT((D17-D18)*0.5,"# ##0 €"),"Non")</f>
        <v>OUI → perte  716 €</v>
      </c>
      <c r="E20" s="81" t="str">
        <f aca="false">IF(E17&gt;E18,"OUI → perte "&amp;TEXT((E17-E18)*0.5,"# ##0 €"),"Non")</f>
        <v>OUI → perte  945 €</v>
      </c>
      <c r="F20" s="81" t="str">
        <f aca="false">IF(F17&gt;F18,"OUI → perte "&amp;TEXT((F17-F18)*0.5,"# ##0 €"),"Non")</f>
        <v>OUI → perte  775 €</v>
      </c>
    </row>
    <row r="22" customFormat="false" ht="15" hidden="false" customHeight="true" outlineLevel="0" collapsed="false">
      <c r="A22" s="3" t="s">
        <v>129</v>
      </c>
    </row>
    <row r="23" customFormat="false" ht="15" hidden="false" customHeight="true" outlineLevel="0" collapsed="false">
      <c r="A23" s="75" t="s">
        <v>130</v>
      </c>
      <c r="B23" s="82" t="n">
        <f aca="false">B17-B19</f>
        <v>5713.20478285715</v>
      </c>
      <c r="C23" s="82" t="n">
        <f aca="false">C17-C19</f>
        <v>8725.24388571428</v>
      </c>
      <c r="D23" s="82" t="n">
        <f aca="false">D17-D19</f>
        <v>8932.73280000001</v>
      </c>
      <c r="E23" s="82" t="n">
        <f aca="false">E17-E19</f>
        <v>9389.00386285714</v>
      </c>
      <c r="F23" s="82" t="n">
        <f aca="false">F17-F19</f>
        <v>9050.22171428571</v>
      </c>
    </row>
    <row r="24" customFormat="false" ht="15" hidden="false" customHeight="true" outlineLevel="0" collapsed="false">
      <c r="A24" s="75" t="s">
        <v>131</v>
      </c>
      <c r="B24" s="82" t="n">
        <f aca="false">B23/12</f>
        <v>476.100398571429</v>
      </c>
      <c r="C24" s="82" t="n">
        <f aca="false">C23/12</f>
        <v>727.103657142857</v>
      </c>
      <c r="D24" s="82" t="n">
        <f aca="false">D23/12</f>
        <v>744.394400000001</v>
      </c>
      <c r="E24" s="82" t="n">
        <f aca="false">E23/12</f>
        <v>782.416988571429</v>
      </c>
      <c r="F24" s="82" t="n">
        <f aca="false">F23/12</f>
        <v>754.185142857143</v>
      </c>
    </row>
    <row r="25" customFormat="false" ht="15" hidden="false" customHeight="true" outlineLevel="0" collapsed="false">
      <c r="A25" s="4" t="s">
        <v>94</v>
      </c>
      <c r="B25" s="78" t="n">
        <f aca="false">'Situation actuelle'!B35</f>
        <v>4798.04</v>
      </c>
      <c r="C25" s="78" t="n">
        <f aca="false">'Situation actuelle'!B35</f>
        <v>4798.04</v>
      </c>
      <c r="D25" s="78" t="n">
        <f aca="false">'Situation actuelle'!B35</f>
        <v>4798.04</v>
      </c>
      <c r="E25" s="78" t="n">
        <f aca="false">'Situation actuelle'!B35</f>
        <v>4798.04</v>
      </c>
      <c r="F25" s="78" t="n">
        <f aca="false">'Situation actuelle'!B35</f>
        <v>4798.04</v>
      </c>
    </row>
    <row r="26" customFormat="false" ht="15" hidden="false" customHeight="true" outlineLevel="0" collapsed="false">
      <c r="A26" s="83" t="s">
        <v>132</v>
      </c>
      <c r="B26" s="84" t="n">
        <f aca="false">B23+B25</f>
        <v>10511.2447828571</v>
      </c>
      <c r="C26" s="84" t="n">
        <f aca="false">C23+C25</f>
        <v>13523.2838857143</v>
      </c>
      <c r="D26" s="84" t="n">
        <f aca="false">D23+D25</f>
        <v>13730.7728</v>
      </c>
      <c r="E26" s="84" t="n">
        <f aca="false">E23+E25</f>
        <v>14187.0438628571</v>
      </c>
      <c r="F26" s="84" t="n">
        <f aca="false">F23+F25</f>
        <v>13848.2617142857</v>
      </c>
    </row>
    <row r="27" customFormat="false" ht="15" hidden="false" customHeight="true" outlineLevel="0" collapsed="false">
      <c r="A27" s="85" t="s">
        <v>133</v>
      </c>
      <c r="B27" s="86" t="n">
        <f aca="false">B26/12</f>
        <v>875.937065238095</v>
      </c>
      <c r="C27" s="86" t="n">
        <f aca="false">C26/12</f>
        <v>1126.94032380952</v>
      </c>
      <c r="D27" s="86" t="n">
        <f aca="false">D26/12</f>
        <v>1144.23106666667</v>
      </c>
      <c r="E27" s="86" t="n">
        <f aca="false">E26/12</f>
        <v>1182.2536552381</v>
      </c>
      <c r="F27" s="86" t="n">
        <f aca="false">F26/12</f>
        <v>1154.02180952381</v>
      </c>
    </row>
    <row r="29" customFormat="false" ht="15" hidden="false" customHeight="true" outlineLevel="0" collapsed="false">
      <c r="A29" s="87" t="s">
        <v>134</v>
      </c>
      <c r="B29" s="88" t="s">
        <v>135</v>
      </c>
      <c r="C29" s="89" t="n">
        <f aca="false">C26-B26</f>
        <v>3012.03910285714</v>
      </c>
      <c r="D29" s="89" t="n">
        <f aca="false">D26-B26</f>
        <v>3219.52801714286</v>
      </c>
      <c r="E29" s="89" t="n">
        <f aca="false">E26-B26</f>
        <v>3675.79908</v>
      </c>
      <c r="F29" s="89" t="n">
        <f aca="false">F26-B26</f>
        <v>3337.01693142857</v>
      </c>
    </row>
    <row r="30" customFormat="false" ht="15" hidden="false" customHeight="true" outlineLevel="0" collapsed="false">
      <c r="A30" s="87" t="s">
        <v>136</v>
      </c>
      <c r="B30" s="88" t="s">
        <v>135</v>
      </c>
      <c r="C30" s="89" t="n">
        <f aca="false">C29/12</f>
        <v>251.003258571428</v>
      </c>
      <c r="D30" s="89" t="n">
        <f aca="false">D29/12</f>
        <v>268.294001428572</v>
      </c>
      <c r="E30" s="89" t="n">
        <f aca="false">E29/12</f>
        <v>306.31659</v>
      </c>
      <c r="F30" s="89" t="n">
        <f aca="false">F29/12</f>
        <v>278.084744285714</v>
      </c>
    </row>
    <row r="33" customFormat="false" ht="15" hidden="false" customHeight="true" outlineLevel="0" collapsed="false">
      <c r="A33" s="3" t="s">
        <v>137</v>
      </c>
    </row>
    <row r="34" customFormat="false" ht="15" hidden="false" customHeight="true" outlineLevel="0" collapsed="false">
      <c r="A34" s="90" t="s">
        <v>138</v>
      </c>
      <c r="B34" s="90"/>
      <c r="C34" s="90"/>
      <c r="D34" s="90"/>
      <c r="E34" s="90"/>
      <c r="F34" s="90"/>
    </row>
    <row r="35" customFormat="false" ht="15" hidden="false" customHeight="true" outlineLevel="0" collapsed="false">
      <c r="A35" s="91" t="s">
        <v>139</v>
      </c>
      <c r="B35" s="91"/>
      <c r="C35" s="91"/>
      <c r="D35" s="91"/>
      <c r="E35" s="91"/>
      <c r="F35" s="91"/>
    </row>
    <row r="36" customFormat="false" ht="15" hidden="false" customHeight="true" outlineLevel="0" collapsed="false">
      <c r="A36" s="90" t="s">
        <v>140</v>
      </c>
      <c r="B36" s="90"/>
      <c r="C36" s="90"/>
      <c r="D36" s="90"/>
      <c r="E36" s="90"/>
      <c r="F36" s="90"/>
    </row>
    <row r="37" customFormat="false" ht="15" hidden="false" customHeight="true" outlineLevel="0" collapsed="false">
      <c r="A37" s="91" t="s">
        <v>141</v>
      </c>
      <c r="B37" s="91"/>
      <c r="C37" s="91"/>
      <c r="D37" s="91"/>
      <c r="E37" s="91"/>
      <c r="F37" s="91"/>
    </row>
    <row r="38" customFormat="false" ht="15" hidden="false" customHeight="true" outlineLevel="0" collapsed="false">
      <c r="A38" s="90" t="s">
        <v>142</v>
      </c>
      <c r="B38" s="90"/>
      <c r="C38" s="90"/>
      <c r="D38" s="90"/>
      <c r="E38" s="90"/>
      <c r="F38" s="90"/>
    </row>
    <row r="39" customFormat="false" ht="15" hidden="false" customHeight="true" outlineLevel="0" collapsed="false">
      <c r="A39" s="91" t="s">
        <v>143</v>
      </c>
      <c r="B39" s="91"/>
      <c r="C39" s="91"/>
      <c r="D39" s="91"/>
      <c r="E39" s="91"/>
      <c r="F39" s="91"/>
    </row>
    <row r="40" customFormat="false" ht="15" hidden="false" customHeight="true" outlineLevel="0" collapsed="false">
      <c r="A40" s="90" t="s">
        <v>144</v>
      </c>
      <c r="B40" s="90"/>
      <c r="C40" s="90"/>
      <c r="D40" s="90"/>
      <c r="E40" s="90"/>
      <c r="F40" s="90"/>
    </row>
    <row r="41" customFormat="false" ht="15" hidden="false" customHeight="true" outlineLevel="0" collapsed="false">
      <c r="A41" s="91" t="s">
        <v>145</v>
      </c>
      <c r="B41" s="91"/>
      <c r="C41" s="91"/>
      <c r="D41" s="91"/>
      <c r="E41" s="91"/>
      <c r="F41" s="91"/>
    </row>
    <row r="43" customFormat="false" ht="15" hidden="false" customHeight="true" outlineLevel="0" collapsed="false">
      <c r="A43" s="92" t="s">
        <v>146</v>
      </c>
      <c r="B43" s="92"/>
      <c r="C43" s="92"/>
      <c r="D43" s="92"/>
      <c r="E43" s="92"/>
      <c r="F43" s="92"/>
    </row>
    <row r="44" customFormat="false" ht="15" hidden="false" customHeight="true" outlineLevel="0" collapsed="false">
      <c r="A44" s="93" t="s">
        <v>147</v>
      </c>
      <c r="B44" s="93"/>
      <c r="C44" s="93"/>
      <c r="D44" s="93"/>
      <c r="E44" s="93"/>
      <c r="F44" s="93"/>
    </row>
    <row r="45" customFormat="false" ht="15" hidden="false" customHeight="true" outlineLevel="0" collapsed="false">
      <c r="A45" s="93" t="s">
        <v>148</v>
      </c>
      <c r="B45" s="93"/>
      <c r="C45" s="93"/>
      <c r="D45" s="93"/>
      <c r="E45" s="93"/>
      <c r="F45" s="93"/>
    </row>
    <row r="46" customFormat="false" ht="15" hidden="false" customHeight="true" outlineLevel="0" collapsed="false">
      <c r="A46" s="94" t="s">
        <v>149</v>
      </c>
      <c r="B46" s="94"/>
      <c r="C46" s="94"/>
      <c r="D46" s="94"/>
      <c r="E46" s="94"/>
      <c r="F46" s="94"/>
    </row>
  </sheetData>
  <mergeCells count="14">
    <mergeCell ref="A1:F1"/>
    <mergeCell ref="A2:F2"/>
    <mergeCell ref="A34:F34"/>
    <mergeCell ref="A35:F35"/>
    <mergeCell ref="A36:F36"/>
    <mergeCell ref="A37:F37"/>
    <mergeCell ref="A38:F38"/>
    <mergeCell ref="A39:F39"/>
    <mergeCell ref="A40:F40"/>
    <mergeCell ref="A41:F41"/>
    <mergeCell ref="A43:F43"/>
    <mergeCell ref="A44:F44"/>
    <mergeCell ref="A45:F45"/>
    <mergeCell ref="A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0"/>
  </cols>
  <sheetData>
    <row r="1" customFormat="false" ht="17.25" hidden="false" customHeight="true" outlineLevel="0" collapsed="false">
      <c r="A1" s="95" t="s">
        <v>150</v>
      </c>
    </row>
    <row r="3" customFormat="false" ht="15" hidden="false" customHeight="true" outlineLevel="0" collapsed="false">
      <c r="A3" s="3" t="s">
        <v>151</v>
      </c>
    </row>
    <row r="4" customFormat="false" ht="15" hidden="false" customHeight="true" outlineLevel="0" collapsed="false">
      <c r="A4" s="96"/>
    </row>
    <row r="5" customFormat="false" ht="15" hidden="false" customHeight="true" outlineLevel="0" collapsed="false">
      <c r="A5" s="87" t="s">
        <v>152</v>
      </c>
    </row>
    <row r="6" customFormat="false" ht="15" hidden="false" customHeight="true" outlineLevel="0" collapsed="false">
      <c r="A6" s="96" t="s">
        <v>153</v>
      </c>
    </row>
    <row r="7" customFormat="false" ht="15" hidden="false" customHeight="true" outlineLevel="0" collapsed="false">
      <c r="A7" s="96" t="s">
        <v>154</v>
      </c>
    </row>
    <row r="8" customFormat="false" ht="15" hidden="false" customHeight="true" outlineLevel="0" collapsed="false">
      <c r="A8" s="96" t="s">
        <v>155</v>
      </c>
    </row>
    <row r="9" customFormat="false" ht="15" hidden="false" customHeight="true" outlineLevel="0" collapsed="false">
      <c r="A9" s="96"/>
    </row>
    <row r="10" customFormat="false" ht="15" hidden="false" customHeight="true" outlineLevel="0" collapsed="false">
      <c r="A10" s="87" t="s">
        <v>156</v>
      </c>
    </row>
    <row r="11" customFormat="false" ht="15" hidden="false" customHeight="true" outlineLevel="0" collapsed="false">
      <c r="A11" s="96" t="s">
        <v>157</v>
      </c>
    </row>
    <row r="12" customFormat="false" ht="15" hidden="false" customHeight="true" outlineLevel="0" collapsed="false">
      <c r="A12" s="96" t="s">
        <v>158</v>
      </c>
    </row>
    <row r="13" customFormat="false" ht="15" hidden="false" customHeight="true" outlineLevel="0" collapsed="false">
      <c r="A13" s="96" t="s">
        <v>159</v>
      </c>
    </row>
    <row r="14" customFormat="false" ht="15" hidden="false" customHeight="true" outlineLevel="0" collapsed="false">
      <c r="A14" s="96"/>
    </row>
    <row r="15" customFormat="false" ht="15" hidden="false" customHeight="true" outlineLevel="0" collapsed="false">
      <c r="A15" s="87" t="s">
        <v>160</v>
      </c>
    </row>
    <row r="16" customFormat="false" ht="15" hidden="false" customHeight="true" outlineLevel="0" collapsed="false">
      <c r="A16" s="96" t="s">
        <v>161</v>
      </c>
    </row>
    <row r="17" customFormat="false" ht="15" hidden="false" customHeight="true" outlineLevel="0" collapsed="false">
      <c r="A17" s="96" t="s">
        <v>162</v>
      </c>
    </row>
    <row r="18" customFormat="false" ht="15" hidden="false" customHeight="true" outlineLevel="0" collapsed="false">
      <c r="A18" s="96" t="s">
        <v>163</v>
      </c>
    </row>
    <row r="19" customFormat="false" ht="15" hidden="false" customHeight="true" outlineLevel="0" collapsed="false">
      <c r="A19" s="96"/>
    </row>
    <row r="20" customFormat="false" ht="15" hidden="false" customHeight="true" outlineLevel="0" collapsed="false">
      <c r="A20" s="87" t="s">
        <v>164</v>
      </c>
    </row>
    <row r="21" customFormat="false" ht="15" hidden="false" customHeight="true" outlineLevel="0" collapsed="false">
      <c r="A21" s="96" t="s">
        <v>165</v>
      </c>
    </row>
    <row r="22" customFormat="false" ht="15" hidden="false" customHeight="true" outlineLevel="0" collapsed="false">
      <c r="A22" s="96" t="s">
        <v>166</v>
      </c>
    </row>
    <row r="23" customFormat="false" ht="15" hidden="false" customHeight="true" outlineLevel="0" collapsed="false">
      <c r="A23" s="96" t="s">
        <v>167</v>
      </c>
    </row>
    <row r="24" customFormat="false" ht="15" hidden="false" customHeight="true" outlineLevel="0" collapsed="false">
      <c r="A24" s="96" t="s">
        <v>168</v>
      </c>
    </row>
    <row r="25" customFormat="false" ht="15" hidden="false" customHeight="true" outlineLevel="0" collapsed="false">
      <c r="A25" s="96"/>
    </row>
    <row r="26" customFormat="false" ht="15" hidden="false" customHeight="true" outlineLevel="0" collapsed="false">
      <c r="A26" s="87" t="s">
        <v>169</v>
      </c>
    </row>
    <row r="27" customFormat="false" ht="15" hidden="false" customHeight="true" outlineLevel="0" collapsed="false">
      <c r="A27" s="96" t="s">
        <v>170</v>
      </c>
    </row>
    <row r="28" customFormat="false" ht="15" hidden="false" customHeight="true" outlineLevel="0" collapsed="false">
      <c r="A28" s="96" t="s">
        <v>171</v>
      </c>
    </row>
    <row r="29" customFormat="false" ht="15" hidden="false" customHeight="true" outlineLevel="0" collapsed="false">
      <c r="A29" s="96" t="s">
        <v>172</v>
      </c>
    </row>
    <row r="30" customFormat="false" ht="15" hidden="false" customHeight="true" outlineLevel="0" collapsed="false">
      <c r="A30" s="96"/>
    </row>
    <row r="31" customFormat="false" ht="15" hidden="false" customHeight="true" outlineLevel="0" collapsed="false">
      <c r="A31" s="87" t="s">
        <v>173</v>
      </c>
    </row>
    <row r="32" customFormat="false" ht="15" hidden="false" customHeight="true" outlineLevel="0" collapsed="false">
      <c r="A32" s="96" t="s">
        <v>174</v>
      </c>
    </row>
    <row r="33" customFormat="false" ht="15" hidden="false" customHeight="true" outlineLevel="0" collapsed="false">
      <c r="A33" s="96" t="s">
        <v>175</v>
      </c>
    </row>
    <row r="34" customFormat="false" ht="15" hidden="false" customHeight="true" outlineLevel="0" collapsed="false">
      <c r="A34" s="96" t="s">
        <v>176</v>
      </c>
    </row>
    <row r="35" customFormat="false" ht="15" hidden="false" customHeight="true" outlineLevel="0" collapsed="false">
      <c r="A35" s="96"/>
    </row>
    <row r="36" customFormat="false" ht="15" hidden="false" customHeight="true" outlineLevel="0" collapsed="false">
      <c r="A36" s="3" t="s">
        <v>177</v>
      </c>
    </row>
    <row r="37" customFormat="false" ht="15" hidden="false" customHeight="true" outlineLevel="0" collapsed="false">
      <c r="A37" s="96" t="s">
        <v>178</v>
      </c>
    </row>
    <row r="38" customFormat="false" ht="15" hidden="false" customHeight="true" outlineLevel="0" collapsed="false">
      <c r="A38" s="96" t="s">
        <v>179</v>
      </c>
    </row>
    <row r="39" customFormat="false" ht="15" hidden="false" customHeight="true" outlineLevel="0" collapsed="false">
      <c r="A39" s="96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2026-03-22T20:42:13Z</dcterms:created>
  <dc:creator>openpyxl</dc:creator>
  <dc:description/>
  <dc:language>en-US</dc:language>
  <cp:lastModifiedBy/>
  <dcterms:modified xsi:type="dcterms:W3CDTF">2026-03-23T21:03:15Z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